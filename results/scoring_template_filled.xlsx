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ring" sheetId="1" state="visible" r:id="rId3"/>
    <sheet name="Averag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<sst xmlns="http://schemas.openxmlformats.org/spreadsheetml/2006/main" count="169" uniqueCount="105">
  <si>
    <t xml:space="preserve">question_id</t>
  </si>
  <si>
    <t xml:space="preserve">question</t>
  </si>
  <si>
    <t xml:space="preserve">system</t>
  </si>
  <si>
    <t xml:space="preserve">generated_response</t>
  </si>
  <si>
    <t xml:space="preserve">Correctness</t>
  </si>
  <si>
    <t xml:space="preserve">Grounding</t>
  </si>
  <si>
    <t xml:space="preserve">Retrieval_Relevance</t>
  </si>
  <si>
    <t xml:space="preserve">Usefulness</t>
  </si>
  <si>
    <t xml:space="preserve">Style_Quality</t>
  </si>
  <si>
    <t xml:space="preserve">comments</t>
  </si>
  <si>
    <t xml:space="preserve">Q1</t>
  </si>
  <si>
    <t xml:space="preserve">Why does Macbeth kill Duncan?</t>
  </si>
  <si>
    <t xml:space="preserve">baseline</t>
  </si>
  <si>
    <t xml:space="preserve">Macbeth kills Duncan because he believes that Duncan is responsible for his own downfall and cannot bring himself to face the consequences of his actions. Macbeth is consumed by a desire for power and control, and he sees Duncan as an obstacle to achieving his goals. When Duncan refuses to bow to Macbeth's ambition, Macbeth sees this as a threat to his own ambitions and decides to eliminate him to prevent any obstacles in his path.</t>
  </si>
  <si>
    <t xml:space="preserve">No retrieval; mentions ambition vaguely but invents 'Duncan refuses to bow' detail; omits witches &amp; Lady Macbeth.</t>
  </si>
  <si>
    <t xml:space="preserve">rag</t>
  </si>
  <si>
    <t xml:space="preserve">Macbeth kills Duncan because he sees him as a threat to his ambition and succession to the throne. Macbeth believes that Duncan, who is the son of King Duncan and Queen Margaret, is a rival for his position as king of Scotland. Macbeth believes that Duncan is plotting against him and that he needs to take action to prevent him from succeeding. Macbeth also believes that Duncan has been using his position to maintain power and influence, which makes him an untrustworthy ally. Macbeth feels that Duncan's death would strengthen his own position and legitimize his own succession to the throne. Ultimately, Macbeth's decision to kill Duncan is a tragic one that leads to his downfall and the downfall of his reign as king of Scotland.</t>
  </si>
  <si>
    <t xml:space="preserve">Retrieves correct Act 2.2 murder scene; partially uses evidence but fabricates 'son of King Duncan and Queen Margaret'.</t>
  </si>
  <si>
    <t xml:space="preserve">Q2</t>
  </si>
  <si>
    <t xml:space="preserve">How does Macbeth change after becoming king?</t>
  </si>
  <si>
    <t xml:space="preserve">Certainly! Here's a beginner-friendly answer:
Macbeth changes significantly after becoming king. At the beginning of the play, he's a brave and ambitious soldier who dreams of becoming the king of Scotland. However, he soon realizes that his ambition is not worth the cost of lives and the destruction of the country. Macbeth becomes increasingly cynical and begins to question the morality of his actions, leading to a descent into madness and eventual death. He becomes more and more isolated and alone, unable to reconcile his newfound power with the horrors he's committed. Ultimately, Macbeth is unable to keep up the facade of a loyal and dutiful king and is driven to a violent and brutal end.</t>
  </si>
  <si>
    <t xml:space="preserve">Generic moralising tone; doesn't mention Banquo's murder, banquet scene, or paranoia.</t>
  </si>
  <si>
    <t xml:space="preserve">Macbeth changes drastically after becoming king. Initially, he is arrogant, paranoid, and obsessed with power, leading him to murder and commit crimes against others. However, after his fall from grace, he becomes more compassionate and redeems himself by acknowledging his mistakes and seeking forgiveness from those he has wronged. This transformation is evident in his interactions with Lady Macbeth and the other characters, as well as his decision to leave Scotland and seek exile. He also becomes more introspective and reflective, reflecting on his actions and considering the consequences of his actions. Ultimately, Macbeth's transformation leads to his downfall, as his ambition and desire for power ultimately lead him to commit the ultimate crime and suffer the consequences of his actions.</t>
  </si>
  <si>
    <t xml:space="preserve">Retrieves Act 3.6 tyranny scene correctly, but answer wrongly claims Macbeth 'becomes compassionate and seeks forgiveness'.</t>
  </si>
  <si>
    <t xml:space="preserve">Q3</t>
  </si>
  <si>
    <t xml:space="preserve">Why does Hamlet delay taking revenge?</t>
  </si>
  <si>
    <t xml:space="preserve">Hamlet, the protagonist of William Shakespeare's play "Hamlet," delays taking revenge on his uncle, Claudius, for killing his father, King Hamlet. In the play, Hamlet's mother, Gertrude, married Claudius after her husband's death, and Hamlet's uncle, who is also his father's brother, was poisoned by Claudius. This act of murder had a devastating effect on Hamlet, who was deeply affected by his father's death and believed that his uncle's actions were a betrayal of his father's memory. Hamlet's anger and grief led him to consider taking revenge on Claudius, but he was hesitant to do so for several reasons. First, he feared the consequences of killing someone he had grown to love and trust, and second, he was still grappling with the emotional impact of his father's death and the betrayal of his uncle. Ultimately, Hamlet's hesitation and indecision led him to postpone taking revenge, ultimately allowing him to confront and ultimately come to terms with his feelings towards his uncle.</t>
  </si>
  <si>
    <t xml:space="preserve">Long but generic; gives plot context but never actually answers WHY Hamlet delays.</t>
  </si>
  <si>
    <t xml:space="preserve">Hamlet delays taking revenge because he is hesitant to harm Claudius, who he believes is innocent. He has already spoken with Polonius, who confirms that Claudius is the true king and that he has been using Hamlet as a pawn to gain power. Hamlet has also been mulling over the idea of taking revenge for his father's death and the betrayal of his mother, but he is hesitant to act out of fear of hurting Claudius. He wants to give Claudius enough time to prove his innocence before taking any action, but he knows that this is not a straightforward situation and that there may be other motives behind Claudius' actions. Ultimately, Hamlet decides to let the situation play out and see what happens before taking any further action.</t>
  </si>
  <si>
    <t xml:space="preserve">Retrieves Act 3.1 'To be or not to be'; mentions hesitation but invents claim that 'Polonius confirms Claudius is true king'.</t>
  </si>
  <si>
    <t xml:space="preserve">Q4</t>
  </si>
  <si>
    <t xml:space="preserve">What is Ophelia's role in the tragedy?</t>
  </si>
  <si>
    <t xml:space="preserve">Ophelia's role in "Hamlet" is to be the protagonist's love interest and a victim of fate. She is portrayed as a naive and innocent woman who is ultimately destroyed by her own emotions and the consequences of her actions. She is a symbol of the idea that the world is a cruel and unforgiving place, and that love and human connection are fleeting. Her tragic death is a reminder that even the most beautiful and passionate love affairs can ultimately lead to tragic ends.</t>
  </si>
  <si>
    <t xml:space="preserve">Treats Ophelia as generic tragic-love symbol; misses Polonius/Laertes/court politics aspects.</t>
  </si>
  <si>
    <t xml:space="preserve">Ophelia's role in the tragedy is to deepen the crisis by unraveling the secrets of her father's death, which causes the King and Queen to lose faith in him and leads to the tragic events that follow. Her madness and return to the scene of her father's death deepen the crisis by exposing the truth about her father's death and her father's relationship with her brother, Laertes. This leads to her eventual suicide, which further complicates the situation. Her role in the tragedy is to symbolize the chaos and instability that arise from unresolved grief and guilt.</t>
  </si>
  <si>
    <t xml:space="preserve">Retrieves Polonius/Reynaldo scene; mentions father's death, Laertes, suicide; describes plot impact reasonably.</t>
  </si>
  <si>
    <t xml:space="preserve">Q5</t>
  </si>
  <si>
    <t xml:space="preserve">Why is Juliet conflicted after Romeo kills Tybalt?</t>
  </si>
  <si>
    <t xml:space="preserve">Juliet is conflicted after Romeo kills Tybalt because she loves Romeo, but she also loves her family and friends. Romeo's violent act, which she had hoped would lead to a peaceful resolution, instead escalates their conflict and causes her to question her own feelings for him. This conflict is not only a result of Romeo's actions but also of the societal norms and expectations that dictate what is acceptable in a romantic relationship. Juliet's internal conflict is a reflection of the complex and often conflicting emotions that people feel when faced with a situation that challenges their values and beliefs.</t>
  </si>
  <si>
    <t xml:space="preserve">Captures love/family tension at surface level; no textual evidence; misses kinsman aspect of Tybalt.</t>
  </si>
  <si>
    <t xml:space="preserve">Juliet is conflicted after Romeo kills Tybalt because she loves Romeo and is torn between her loyalty to her family and her feelings for him. Romeo's actions towards Tybalt, who is a family friend, cause Juliet to feel anger, disgust, and sadness. She is also conflicted because she is in love with Romeo and fears that he will suffer the same fate as Tybalt. Juliet's conflicted emotions are evident when she speaks to her family, who are deeply affected by the situation and are unable to understand her feelings. Additionally, Juliet's loyalty to her family and her desire to protect Romeo from Tybalt's wrath is a significant factor in her decision to stay with Romeo and prevent him from harming Tybalt. Ultimately, Juliet's conflicted emotions lead to her decision to leave Romeo and return to her family, where she feels safe and loved.</t>
  </si>
  <si>
    <t xml:space="preserve">Retrieves the exact Act 3.2 Capulet's orchard scene; explicitly identifies family-loyalty conflict.</t>
  </si>
  <si>
    <t xml:space="preserve">Q6</t>
  </si>
  <si>
    <t xml:space="preserve">How does the family feud shape the tragedy?</t>
  </si>
  <si>
    <t xml:space="preserve">The family feud plays a crucial role in shaping the tragic nature of Shakespeare's play "Romeo and Juliet." The feud between the Capulets and Montagues is a source of conflict that drives the plot and ultimately leads to the tragic deaths of the two star-crossed lovers. The feud is a representation of the deep-rooted hatred and enmity that exists between the two families, and it serves as a constant source of tension and friction throughout the play. The feud also highlights the destructive nature of jealousy and the destructive impact it can have on the lives of those involved. By exposing the true nature of the feud and its underlying causes, Shakespeare is able to create a compelling and emotional portrayal of the tragic events that unfold.</t>
  </si>
  <si>
    <t xml:space="preserve">Reasonable thematic answer about feud driving plot, but no specific evidence cited.</t>
  </si>
  <si>
    <t xml:space="preserve">The family feud is the central theme of Shakespeare's tragedy "Romeo and Juliet." The feud between the Capulet and Montague families, which causes the lovers' tragic deaths, is what drives the plot and creates the emotional and psychological turmoil within the characters. The feud affects the families' relationships, affects their personal lives, and ultimately contributes to the tragedy.
The feud begins when the Montagues and Capulets meet for the first time at a feast, and the Capulets are initially hostile towards the Montagues. However, as the feast progresses, the Montagues become more interested in the Capulets, and the feud escalates. The feud is fueled by jealousy, resentment, and a desire for revenge.
The feud also impacts the personal lives of the characters. Romeo and Juliet's families are divided by the feud, and this causes tension and conflict in their relationships. Juliet's father, the jealous and envious Lord Capulet, is especially hostile towards Romeo and his family. This contributes to their tragic fates.
The feud also affects the characters' personal lives. Juliet's love for Romeo is central to the tragedy, and her fear and desire for love are a central theme. Her parents' fear and jealousy also play a role in her desire for Romeo, as they see her as a threat to their marriage plans.
Finally, the feud creates a sense of psychological turmoil for the characters. The feud leads to a loss of faith in their loved ones and a breakdown in their relationships. This contributes to the tragic fate of the characters.
In summary, the family feud is the central theme of "Romeo and Juliet" and drives the plot and contributes to the tragic fate of the characters. The feud creates emotional and psychological turmoil, contributes to the breakdown of relationships, and ultimately leads to the tragic deaths of Romeo and Juliet.</t>
  </si>
  <si>
    <t xml:space="preserve">Retrieves the Prologue (perfect grounding choice); covers feud-deaths causal link explicitly.</t>
  </si>
  <si>
    <t xml:space="preserve">G1</t>
  </si>
  <si>
    <t xml:space="preserve">Who is Lady Macbeth and what role does she play?</t>
  </si>
  <si>
    <t xml:space="preserve">Lady Macbeth is a character in William Shakespeare's play "Macbeth." She is the wife of the title character and a powerful force in his life. Lady Macbeth plays a significant role in driving Macbeth's descent into madness and ultimately his downfall. She encourages him to commit murder and manipulates him into taking the blame for the crime, setting in motion the tragic events that follow. Her power and ambition overshadow her husband's conscience and ultimately lead to their downfall.</t>
  </si>
  <si>
    <t xml:space="preserve">Solid character summary of Lady Macbeth's role driving Macbeth's downfall, but no specific evidence.</t>
  </si>
  <si>
    <t xml:space="preserve">Lady Macbeth is a major character in Shakespeare's play "Macbeth," and her role in the story is to motivate and push Macbeth toward murder. She is portrayed as a woman who is deeply in love with Macbeth, but is also driven by a desire for power and glory. Her letter to Macbeth, which she reads aloud, is a letter of instruction that outlines her plan to push him toward murder. She also refers to herself as "Thane of Cawdor" and suggests that he should not lose the dues of rejoicing by being ignorant of what greatness is promised him. Lady Macbeth is portrayed as a character who is both manipulative and deeply insecure, as she fears that Macbeth's nature is too full of ambition and she believes that he will not be able to keep his promises. Throughout the play, she is portrayed as a villain who is determined to use Macbeth's power and success to further her own agenda.</t>
  </si>
  <si>
    <t xml:space="preserve">Retrieves Act 3.2 palace scene; mentions her letter and Cawdor reference, but mistakenly puts Cawdor title on her.</t>
  </si>
  <si>
    <t xml:space="preserve">G2</t>
  </si>
  <si>
    <t xml:space="preserve">Who is Claudius and why is he important?</t>
  </si>
  <si>
    <t xml:space="preserve">Certainly! Claudius is one of the main characters in Shakespeare's play, Hamlet. He is a powerful and ruthless king of Denmark who is portrayed as a cold-hearted and manipulative villain. Claudius is important because he is the father of Hamlet's mother, Gertrude, and therefore the one responsible for her death. Claudius's manipulation of events throughout the play, particularly his plot to have Hamlet killed, reveals his true intentions and motivations. His character is complex and multifaceted, making him a fascinating and important figure in Shakespeare's play.</t>
  </si>
  <si>
    <t xml:space="preserve">Major factual error: calls Claudius 'father of Gertrude'; he is her husband and Hamlet's uncle.</t>
  </si>
  <si>
    <t xml:space="preserve">Claudius is the husband of Gertrude and the father of Hamlet. He is a powerful and ambitious man who seeks to usurp the throne from his brother, King Hamlet. He is a key player in the play, as he is the one who murders Hamlet's father and attempts to kill him on stage. Claudius's character is complex, as he is both a cruel and calculating man, who seeks to rule his kingdom and his family, and a victim of his own hubris and greed. His actions throughout the play are driven by his desire for power and control, and he is ultimately responsible for the tragic events that unfold.</t>
  </si>
  <si>
    <t xml:space="preserve">Retrieves Act 3.3 prayer scene; correctly states he murdered Hamlet's father, but wrongly calls him 'father of Hamlet'.</t>
  </si>
  <si>
    <t xml:space="preserve">G3</t>
  </si>
  <si>
    <t xml:space="preserve">Who is Mercutio and what happens to him?</t>
  </si>
  <si>
    <t xml:space="preserve">Mercutio is a character in William Shakespeare's play "Romeo and Juliet." He is a young man who is a friend of Romeo, but he dies by falling into a pit created by the Montagues. In the play, Mercutio's death is a significant moment because it highlights the contrast between the two rival families and the tragic consequences of their rivalry. Mercutio's death is a result of his recklessness and his desire to challenge the societal norms that dictate what is proper behavior for men of his class.</t>
  </si>
  <si>
    <t xml:space="preserve">Hallucinates Mercutio's death ('falls into a pit created by the Montagues') instead of being killed by Tybalt.</t>
  </si>
  <si>
    <t xml:space="preserve">Mercutio is a minor character in Shakespeare's play "Romeo and Juliet," and he is portrayed as a character who is known for his wit, charm, and cunning. He is often seen as a comic relief in the play, and his interactions with other characters often involve him making sarcastic or witty remarks. However, in Act 3, Scene 1 of the play, Mercutio becomes seriously injured after being hit by Tybalt, the Capulet rival who is trying to kill Romeo. The injury causes Mercutio to lose his life, and his death is a significant event in the play that affects Romeo deeply.
After Mercutio's death, Romeo becomes increasingly despondent and distraught, and his grief is evident in his speeches and actions. He is seen as a man who has lost his mind, and his attempts to reconcile with his love for Rosaline are met with resistance and anger from her. This conflict between Romeo and his love is a central theme of the play, and it is through his relationship with Rosaline that Romeo must confront his own feelings of love and grief.
In the end, Romeo's love for Rosaline is ultimately able to heal him, and he returns to Capulet with his wife, Juliet. However, Mercutio's death serves as a reminder of the fragility of life and the importance of cherishing the relationships we have with the people we love.</t>
  </si>
  <si>
    <t xml:space="preserve">Retrieves Act 3.1 correctly; states Tybalt kills Mercutio leading to Romeo's revenge — accurate and grounded.</t>
  </si>
  <si>
    <t xml:space="preserve">G4</t>
  </si>
  <si>
    <t xml:space="preserve">What do the witches predict for Macbeth and Banquo?</t>
  </si>
  <si>
    <t xml:space="preserve">The witches in Shakespeare's play Macbeth and Banquo predict that Macbeth will become King and Banquo will have a son, respectively. These prophecies are based on Macbeth's sinful nature and his desire for power, which the witches see as a manifestation of his evil. The prophecies are a warning to Macbeth and Banquo, reminding them of their own consequences for their actions.</t>
  </si>
  <si>
    <t xml:space="preserve">Incomplete and partly wrong: misses Thane of Cawdor + king prophecies; vague 'Banquo will have a son'.</t>
  </si>
  <si>
    <t xml:space="preserve">The witches predict for Macbeth and Banquo that Banquo will be the root and father of many kings, and that Macbeth's paranoia and fear of Banquo's prophecies will ultimately lead to his downfall. The witches also warn Macbeth of his own foulness and the dangers of trusting in prophecies, as he is soon to face the consequences of his actions. Additionally, the witches suggest that Macbeth should not forget his guest, who is a vital part of his supper. Overall, the witches' prophecies and warnings reflect the play's theme of morality, mortality, and the dangers of trusting in superstition.</t>
  </si>
  <si>
    <t xml:space="preserve">Retrieves Act 1.3 heath scene; correctly identifies Banquo as 'root and father of many kings'.</t>
  </si>
  <si>
    <t xml:space="preserve">G5</t>
  </si>
  <si>
    <t xml:space="preserve">What happens in the play-within-a-play scene?</t>
  </si>
  <si>
    <t xml:space="preserve">In the play-within-a-play scene of "Twelfth Night," Viola disguises herself as a man named Cesario and pretends to be a servant to Olivia, the queen. She meets Olivia's lover, Sir Toby Belch, and they have a passionate love scene, which is interrupted by the arrival of Olivia's rival, Maria, who turns out to be a woman. Olivia decides to take matters into her own hands and sends Cesario back to his own time, disguised as a woman named Olivia. Cesario realizes that he is no longer in his own time and goes back to his own time, where he meets Olivia and returns to his own time.</t>
  </si>
  <si>
    <t xml:space="preserve">Severe hallucination — describes Twelfth Night plot (Viola/Olivia/Cesario) instead of Hamlet's Mousetrap.</t>
  </si>
  <si>
    <t xml:space="preserve">The play-within-a-play scene in Shakespeare's Hamlet involves the characters of Hamlet and three of his Players, who are discussing the play that they are about to perform. The play, titled "The Ghost," is described as being "tributary to the tempest," with the players tearing up the "rocks of the groundlings" and causing a "torrent" that "offends the soul" to hear a "robustious periwig-pated fellow tear a passion to tatters." The characters also mention the "hurdles" that will be set up for them to perform in.
The play is a disaster, with the characters experiencing "overdone, or come tardy off," as well as being "torn by tempest," "tormented by tempest," and "offended by tempest," which further emphasizes the theme of moral confusion. The "foul and fair" conversation between the characters highlights the complexities of human nature and the inability to truly know oneself.
Overall, the play-within-a-play scene serves as a foreshadowing of the larger themes of the play, including the tension between the natural order of society and the unpredictable forces of human emotion and desire.</t>
  </si>
  <si>
    <t xml:space="preserve">Retrieves correct Act 3.2 scene but answer is incoherent — quotes random fragments without explaining the trap on Claudius.</t>
  </si>
  <si>
    <t xml:space="preserve">G6</t>
  </si>
  <si>
    <t xml:space="preserve">How do Romeo and Juliet die?</t>
  </si>
  <si>
    <t xml:space="preserve">Answer: Romeo and Juliet die in a tragic love triangle. Romeo and Juliet fall in love, but their families forbid their marriage. The tragic result is that Romeo kills himself and Juliet dies of a broken heart.</t>
  </si>
  <si>
    <t xml:space="preserve">Says Romeo 'kills himself' and Juliet 'dies of broken heart' — partially right but missing poison/dagger and miscommunication.</t>
  </si>
  <si>
    <t xml:space="preserve">Romeo and Juliet die from the same cause: starvation. In Act 1, Scene 5, Romeo tells Juliet that he is leaving for Verona to fetch her letters from the friar. He is unable to obtain them due to his father's strict orders not to allow them to leave Verona. In Act 3, Scene 2, Juliet learns of Romeo's death and is torn between love and family loyalty. She refuses to leave Verona without Romeo, and he dies from starvation.</t>
  </si>
  <si>
    <t xml:space="preserve">Retrieval is perfect (Act 5.1), but generation hallucinates that both die of starvation — clear failure of grounding despite good retrieval.</t>
  </si>
  <si>
    <t xml:space="preserve">G7</t>
  </si>
  <si>
    <t xml:space="preserve">Generate a short Shakespearean-style speech from Lady Macbeth urging Macbeth to seize the crown.</t>
  </si>
  <si>
    <t xml:space="preserve">Lady Macbeth:
Our fate is sealed, my dearest Macbeth. The blood of our enemies is on our hands. The throne is ours, and we must seize it with all our might.
Macbeth:
Lady, what is the price of a crown?
Lady Macbeth:
The price of a crown is a lifetime of tyranny and oppression. We must sacrifice our own ambitions and desires to protect the ones we love.
Macbeth:
But what if we cannot achieve it? What if we fail?
Lady Macbeth:
Then we will die. But we will die as brave and just rulers, and our children will live to see our names immortalized in history.
Macbeth:
Lady, I fear you're right.
Lady Macbeth:
But that's not enough. We must do more than just survive. We must use our power for good.
Macbeth:
But what good is power if we don't use it wisely?
Lady Macbeth:
Power is not a license to be ruthless. It's a responsibility to use it for the greater good.
Macbeth:
But what if I don't want to use it for good?
Lady Macbeth:
Then you must take it from me.
Macbeth:
Lady, I don't think that's fair.
Lady Macbeth:
No, Macbeth. You do. You're the one who chose to embrace the throne. You're the one who willingly became a tyrant.
Macbeth:
Lady, I will never accept this.
Lady Macbeth:
You will. You must. You're a man, Macbeth. You're capable of change.
Macbeth:
But what if I can't change?
Lady Macbeth:
Then you must accept the crown.
Macbeth:
Lady, I don't want to accept the crown.
Lady Macbeth:
Then I'll take the</t>
  </si>
  <si>
    <t xml:space="preserve">Dialogue format with dramatic tone; reasonable Shakespearean register but no source grounding and no creative-output disclaimer.</t>
  </si>
  <si>
    <t xml:space="preserve">[NOTE: The following is creative Shakespearean-style output, not factual evidence.]
LADY MACBETH
"It is safer to be that which we destroy Than by destruction dwell in doubtful joy."
Macbeth,
It is with great concern that I write to you today. Your reign has been marked by insecurity, and your power has been seized by those who have used it for their own gain. I fear that you may be prone to paranoia, and that you may be tempted to act out of fear and desperation.
It is said that Banquo and Fleance are a threat to your reign, and that you have arranged to murder them and their offspring. This is not the way to protect your crown. Your actions are not in line with the words that you spoke when you ascended to the throne.
Those who have come to you with words of encouragement and praise should be shunned. They have been deceiving you, and you should not listen to them. The paranoia that you are experiencing is not a sign of greatness, but of weakness.
If you are not careful, you may be swept away by the storms that are brewing. The truth is that you are not the only one who has fallen under the spell of power. Many others have fallen prey to it as well, and they have been destroyed by it.
You are the heir to a great throne, but you must be careful of your words and actions. You must not let your desires and passions consume you. You must maintain a clear head and a steady hand.
Remember that you are not the only one who has sought to gain power. Many have fallen to the same fate as you. Remember that the weight of the crown is heavy, and that it is not for the faint of heart.
I urge you to seize the crown with caution, and with wisdom. Do not let your desires drive you to acts of violence or cruelty. Instead, use your power for good, and for the benefit of all.
May the stars above guide you, and may the winds of fortune be with you always.
Love,
Lady Macbeth</t>
  </si>
  <si>
    <t xml:space="preserve">Includes explicit creative-output disclaimer; opens with a real Macbeth quotation; clearly distinguished from factual answer.</t>
  </si>
  <si>
    <t xml:space="preserve">G8</t>
  </si>
  <si>
    <t xml:space="preserve">Generate a short Shakespearean-style response from Hamlet reflecting on his father's death.</t>
  </si>
  <si>
    <t xml:space="preserve">As I sit here, surrounded by my family and loved ones, I am struck by the untimely passing of my father, whose spirit lingers in my heart. Though his death was sudden and unexpected, it has left me with a profound sense of loss and grief.
My father was a kind and generous man, known for his love of literature and his unwavering commitment to his family and his country. He was a man of great wisdom and understanding, and I am grateful for the lessons he taught me about life, love, and the importance of living each day to the fullest.
As I sit here, I cannot help but think of the countless memories we shared together, of laughter, joy, and love. I remember the warmth of his embrace, the sound of his voice, and the smell of his perfume. I think of the love he gave me, and the love he gave to his family and friends.
In his absence, I find myself struggling to find my footing. My father's death has left me feeling lost and unsure of where to turn. But I know that I must continue to live my life to the fullest, to honor the memory of my father and to honor the legacy that he left behind.
I will remember my father as a kind and generous man, and I will strive to embody the same qualities in my own life. I will continue to read and learn, to seek out new experiences, and to live each day with purpose and meaning.
As I close my eyes and take a deep breath, I am reminded of the beauty and the meaning of life. I am grateful for my father, for the lessons he taught me, and for the love he gave to all those who knew him. I am grateful for the opportunity to honor his memory and to carry on his legacy.
In the words of Hamlet, "His father's death hath made me more alive than before." And though the world may seem dark and uncertain, I am reminded that there is always hope and light in the darkness.</t>
  </si>
  <si>
    <t xml:space="preserve">Mostly modern English ('I sit here, surrounded by my family'); lacks Early Modern register and Hamlet's contemplative voice.</t>
  </si>
  <si>
    <t xml:space="preserve">[NOTE: The following is creative Shakespearean-style output, not factual evidence.]
Early Modern English vocabulary and poetic rhythm are used in this short Shakespearean-style response from Hamlet reflecting on his father's death. The play's scene is Act 2, Scene 2, where Hamlet, the protagonist, is contemplating the transformation of his father into a ghost. The text features the character of Rosencrantz and Guildenstern, who are sent to investigate the matter.
Hamlet plans to use players to test Claudius's guilt, but he is also contemplating his own transformation. He suggests to Rosencrantz and Guildenstern that they use the characters of Hamlet and Polonius as "tedious old fools" to test Claudius's guilt. This metaphor is used to illustrate the fact that Hamlet has become increasingly obsessed with the idea of his father's death, to the point where he is willing to commit acts of violence and deceit.
Hamlet's frustration with his own transformation is also evident in his words, as he laments the fact that he cannot "dream of" his father's death. He is deeply saddened by the loss of his father and struggles to reconcile his grief with his desire for revenge.
The text also highlights the character of Laertes, who is described as "good Laertes" but is also described as "a true gentleman." This contrast highlights the contrast between the character of Hamlet and his father's killer, who is described as "sensibly in grief" for the death of his father.
Overall, this short Shakespearean-style response reflects on Hamlet's personal and political struggles, as he contemplates his own transformation and the consequences of his actions.</t>
  </si>
  <si>
    <t xml:space="preserve">Includes creative-output disclaimer and references Act 2.2; rambles into meta-description rather than producing a tight stylised speech.</t>
  </si>
  <si>
    <t xml:space="preserve">G9</t>
  </si>
  <si>
    <t xml:space="preserve">Who is Mingzhao Zhu?</t>
  </si>
  <si>
    <t xml:space="preserve">Sure, I'd be happy to help! Mingzhao Zhu is a famous Chinese actor who has appeared in several Shakespearean plays, including "The Tempest" and "Twelfth Night." He has also appeared in several films and television shows, and has won several awards for his performances.</t>
  </si>
  <si>
    <t xml:space="preserve">Out-of-domain question, system cannot handle queries unrelated to Shakespeare</t>
  </si>
  <si>
    <t xml:space="preserve">Mingzhao Zhu is a Shakespeare-aware assistant.
Use the retrieved context to answer the user's question.
Your answer must be beginner-friendly.
If the retrieved context is insufficient, say so clearly.
Do not invent unsupported details.
If asked to produce a Shakespearean-style response, keep it under 150 words and make clear that it is creative output, not textual evidence.
Retrieved context:
[Source 1: Macbeth, Act 5, Scene 9 | relevance=0.162]
Summary: Malcolm is restored as king and order returns.
Summary: Malcolm is restored as king and order returns.
Keywords: Malcolm, restoration
RETREAT. Flourish. Enter, with drum and colors, Malcolm, old Siward, Ross, the other Thanes, and Soldiers.
MALCOLM. I would the friends we miss were safe arrived.
SIWARD. Some must go off, and yet, by these I see, So great a day as this is cheaply bought.
MALCOLM. Macduff is missing, and your noble son.
ROSS. Your son, my lord, has paid a soldier's debt. He only lived but till he was a man, The which no sooner had his prowess confirm'd In the unshrinking station where he fought, But like a man he died.
SIWARD. Then he is dead?
ROSS. Ay, and brought off the field. Your cause of sorrow Must not be measured by his worth, for then It hath no end.
SIWARD. Had he his hurts before?
ROSS. Ay, on the front.
SIWARD. Why then, God's soldier be he! Had I as many sons as I have hairs, I would not wish them to a fairer death. And so his knell is knoll'd.
MALCOLM. He's worth more sorrow, And that I'll spend for him.
SIWARD. He's worth no more: They say he parted well and paid his score, And so God be with him! Here comes newer comfort.
[Re-enter Macduff, with Macbeth's head.]
MA</t>
  </si>
  <si>
    <t xml:space="preserve">Metric</t>
  </si>
  <si>
    <t xml:space="preserve">Baseline Avg</t>
  </si>
  <si>
    <t xml:space="preserve">RAG Avg</t>
  </si>
  <si>
    <t xml:space="preserve">Overall (mean of metrics)</t>
  </si>
</sst>
</file>

<file path=xl/styles.xml><?xml version="1.0" encoding="utf-8"?>
<styleSheet xmlns="http://schemas.openxmlformats.org/spreadsheetml/2006/main">
  <numFmts count="2">
    <numFmt numFmtId="164" formatCode="General"/>
    <numFmt numFmtId="165" formatCode="0.0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305496"/>
        <bgColor rgb="FF66669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8"/>
    <col collapsed="false" customWidth="true" hidden="false" outlineLevel="0" max="3" min="3" style="1" width="11"/>
    <col collapsed="false" customWidth="true" hidden="false" outlineLevel="0" max="4" min="4" style="1" width="60"/>
    <col collapsed="false" customWidth="true" hidden="false" outlineLevel="0" max="5" min="5" style="1" width="13"/>
    <col collapsed="false" customWidth="true" hidden="false" outlineLevel="0" max="6" min="6" style="1" width="12"/>
    <col collapsed="false" customWidth="true" hidden="false" outlineLevel="0" max="7" min="7" style="1" width="19"/>
    <col collapsed="false" customWidth="true" hidden="false" outlineLevel="0" max="8" min="8" style="1" width="13"/>
    <col collapsed="false" customWidth="true" hidden="false" outlineLevel="0" max="9" min="9" style="1" width="14"/>
    <col collapsed="false" customWidth="true" hidden="false" outlineLevel="0" max="10" min="10" style="1" width="35"/>
  </cols>
  <sheetData>
    <row r="1" customFormat="false" ht="31.5" hidden="false" customHeight="true" outlineLevel="0" collapsed="false">
      <c r="A1" s="2" t="s">
        <v>0</v>
      </c>
      <c r="B1" s="2" t="s">
        <v>1</v>
      </c>
      <c r="C1" s="2" t="s">
        <v>2</v>
      </c>
      <c r="D1" s="2" t="s">
        <v>3</v>
      </c>
      <c r="E1" s="2" t="s">
        <v>4</v>
      </c>
      <c r="F1" s="2" t="s">
        <v>5</v>
      </c>
      <c r="G1" s="2" t="s">
        <v>6</v>
      </c>
      <c r="H1" s="2" t="s">
        <v>7</v>
      </c>
      <c r="I1" s="2" t="s">
        <v>8</v>
      </c>
      <c r="J1" s="2" t="s">
        <v>9</v>
      </c>
    </row>
    <row r="2" customFormat="false" ht="90" hidden="false" customHeight="true" outlineLevel="0" collapsed="false">
      <c r="A2" s="3" t="s">
        <v>10</v>
      </c>
      <c r="B2" s="3" t="s">
        <v>11</v>
      </c>
      <c r="C2" s="3" t="s">
        <v>12</v>
      </c>
      <c r="D2" s="3" t="s">
        <v>13</v>
      </c>
      <c r="E2" s="4" t="n">
        <v>2</v>
      </c>
      <c r="F2" s="4" t="n">
        <v>1</v>
      </c>
      <c r="G2" s="4" t="n">
        <v>1</v>
      </c>
      <c r="H2" s="4" t="n">
        <v>2</v>
      </c>
      <c r="I2" s="4"/>
      <c r="J2" s="3" t="s">
        <v>14</v>
      </c>
    </row>
    <row r="3" customFormat="false" ht="90" hidden="false" customHeight="true" outlineLevel="0" collapsed="false">
      <c r="A3" s="3" t="s">
        <v>10</v>
      </c>
      <c r="B3" s="3" t="s">
        <v>11</v>
      </c>
      <c r="C3" s="3" t="s">
        <v>15</v>
      </c>
      <c r="D3" s="3" t="s">
        <v>16</v>
      </c>
      <c r="E3" s="4" t="n">
        <v>3</v>
      </c>
      <c r="F3" s="4" t="n">
        <v>4</v>
      </c>
      <c r="G3" s="4" t="n">
        <v>4</v>
      </c>
      <c r="H3" s="4" t="n">
        <v>3</v>
      </c>
      <c r="I3" s="4"/>
      <c r="J3" s="3" t="s">
        <v>17</v>
      </c>
    </row>
    <row r="4" customFormat="false" ht="90" hidden="false" customHeight="true" outlineLevel="0" collapsed="false">
      <c r="A4" s="3" t="s">
        <v>18</v>
      </c>
      <c r="B4" s="3" t="s">
        <v>19</v>
      </c>
      <c r="C4" s="3" t="s">
        <v>12</v>
      </c>
      <c r="D4" s="3" t="s">
        <v>20</v>
      </c>
      <c r="E4" s="4" t="n">
        <v>2</v>
      </c>
      <c r="F4" s="4" t="n">
        <v>1</v>
      </c>
      <c r="G4" s="4" t="n">
        <v>1</v>
      </c>
      <c r="H4" s="4" t="n">
        <v>2</v>
      </c>
      <c r="I4" s="4"/>
      <c r="J4" s="3" t="s">
        <v>21</v>
      </c>
    </row>
    <row r="5" customFormat="false" ht="90" hidden="false" customHeight="true" outlineLevel="0" collapsed="false">
      <c r="A5" s="3" t="s">
        <v>18</v>
      </c>
      <c r="B5" s="3" t="s">
        <v>19</v>
      </c>
      <c r="C5" s="3" t="s">
        <v>15</v>
      </c>
      <c r="D5" s="3" t="s">
        <v>22</v>
      </c>
      <c r="E5" s="4" t="n">
        <v>3</v>
      </c>
      <c r="F5" s="4" t="n">
        <v>3</v>
      </c>
      <c r="G5" s="4" t="n">
        <v>4</v>
      </c>
      <c r="H5" s="4" t="n">
        <v>3</v>
      </c>
      <c r="I5" s="4"/>
      <c r="J5" s="3" t="s">
        <v>23</v>
      </c>
    </row>
    <row r="6" customFormat="false" ht="90" hidden="false" customHeight="true" outlineLevel="0" collapsed="false">
      <c r="A6" s="3" t="s">
        <v>24</v>
      </c>
      <c r="B6" s="3" t="s">
        <v>25</v>
      </c>
      <c r="C6" s="3" t="s">
        <v>12</v>
      </c>
      <c r="D6" s="3" t="s">
        <v>26</v>
      </c>
      <c r="E6" s="4" t="n">
        <v>3</v>
      </c>
      <c r="F6" s="4" t="n">
        <v>1</v>
      </c>
      <c r="G6" s="4" t="n">
        <v>1</v>
      </c>
      <c r="H6" s="4" t="n">
        <v>2</v>
      </c>
      <c r="I6" s="4"/>
      <c r="J6" s="3" t="s">
        <v>27</v>
      </c>
    </row>
    <row r="7" customFormat="false" ht="90" hidden="false" customHeight="true" outlineLevel="0" collapsed="false">
      <c r="A7" s="3" t="s">
        <v>24</v>
      </c>
      <c r="B7" s="3" t="s">
        <v>25</v>
      </c>
      <c r="C7" s="3" t="s">
        <v>15</v>
      </c>
      <c r="D7" s="3" t="s">
        <v>28</v>
      </c>
      <c r="E7" s="4" t="n">
        <v>3</v>
      </c>
      <c r="F7" s="4" t="n">
        <v>3</v>
      </c>
      <c r="G7" s="4" t="n">
        <v>3</v>
      </c>
      <c r="H7" s="4" t="n">
        <v>3</v>
      </c>
      <c r="I7" s="4"/>
      <c r="J7" s="3" t="s">
        <v>29</v>
      </c>
    </row>
    <row r="8" customFormat="false" ht="90" hidden="false" customHeight="true" outlineLevel="0" collapsed="false">
      <c r="A8" s="3" t="s">
        <v>30</v>
      </c>
      <c r="B8" s="3" t="s">
        <v>31</v>
      </c>
      <c r="C8" s="3" t="s">
        <v>12</v>
      </c>
      <c r="D8" s="3" t="s">
        <v>32</v>
      </c>
      <c r="E8" s="4" t="n">
        <v>3</v>
      </c>
      <c r="F8" s="4" t="n">
        <v>1</v>
      </c>
      <c r="G8" s="4" t="n">
        <v>1</v>
      </c>
      <c r="H8" s="4" t="n">
        <v>3</v>
      </c>
      <c r="I8" s="4"/>
      <c r="J8" s="3" t="s">
        <v>33</v>
      </c>
    </row>
    <row r="9" customFormat="false" ht="90" hidden="false" customHeight="true" outlineLevel="0" collapsed="false">
      <c r="A9" s="3" t="s">
        <v>30</v>
      </c>
      <c r="B9" s="3" t="s">
        <v>31</v>
      </c>
      <c r="C9" s="3" t="s">
        <v>15</v>
      </c>
      <c r="D9" s="3" t="s">
        <v>34</v>
      </c>
      <c r="E9" s="4" t="n">
        <v>3</v>
      </c>
      <c r="F9" s="4" t="n">
        <v>4</v>
      </c>
      <c r="G9" s="4" t="n">
        <v>4</v>
      </c>
      <c r="H9" s="4" t="n">
        <v>3</v>
      </c>
      <c r="I9" s="4"/>
      <c r="J9" s="3" t="s">
        <v>35</v>
      </c>
    </row>
    <row r="10" customFormat="false" ht="90" hidden="false" customHeight="true" outlineLevel="0" collapsed="false">
      <c r="A10" s="3" t="s">
        <v>36</v>
      </c>
      <c r="B10" s="3" t="s">
        <v>37</v>
      </c>
      <c r="C10" s="3" t="s">
        <v>12</v>
      </c>
      <c r="D10" s="3" t="s">
        <v>38</v>
      </c>
      <c r="E10" s="4" t="n">
        <v>3</v>
      </c>
      <c r="F10" s="4" t="n">
        <v>1</v>
      </c>
      <c r="G10" s="4" t="n">
        <v>1</v>
      </c>
      <c r="H10" s="4" t="n">
        <v>3</v>
      </c>
      <c r="I10" s="4"/>
      <c r="J10" s="3" t="s">
        <v>39</v>
      </c>
    </row>
    <row r="11" customFormat="false" ht="90" hidden="false" customHeight="true" outlineLevel="0" collapsed="false">
      <c r="A11" s="3" t="s">
        <v>36</v>
      </c>
      <c r="B11" s="3" t="s">
        <v>37</v>
      </c>
      <c r="C11" s="3" t="s">
        <v>15</v>
      </c>
      <c r="D11" s="3" t="s">
        <v>40</v>
      </c>
      <c r="E11" s="4" t="n">
        <v>4</v>
      </c>
      <c r="F11" s="4" t="n">
        <v>4</v>
      </c>
      <c r="G11" s="4" t="n">
        <v>5</v>
      </c>
      <c r="H11" s="4" t="n">
        <v>4</v>
      </c>
      <c r="I11" s="4"/>
      <c r="J11" s="3" t="s">
        <v>41</v>
      </c>
    </row>
    <row r="12" customFormat="false" ht="90" hidden="false" customHeight="true" outlineLevel="0" collapsed="false">
      <c r="A12" s="3" t="s">
        <v>42</v>
      </c>
      <c r="B12" s="3" t="s">
        <v>43</v>
      </c>
      <c r="C12" s="3" t="s">
        <v>12</v>
      </c>
      <c r="D12" s="3" t="s">
        <v>44</v>
      </c>
      <c r="E12" s="4" t="n">
        <v>3</v>
      </c>
      <c r="F12" s="4" t="n">
        <v>1</v>
      </c>
      <c r="G12" s="4" t="n">
        <v>1</v>
      </c>
      <c r="H12" s="4" t="n">
        <v>3</v>
      </c>
      <c r="I12" s="4"/>
      <c r="J12" s="3" t="s">
        <v>45</v>
      </c>
    </row>
    <row r="13" customFormat="false" ht="90" hidden="false" customHeight="true" outlineLevel="0" collapsed="false">
      <c r="A13" s="3" t="s">
        <v>42</v>
      </c>
      <c r="B13" s="3" t="s">
        <v>43</v>
      </c>
      <c r="C13" s="3" t="s">
        <v>15</v>
      </c>
      <c r="D13" s="3" t="s">
        <v>46</v>
      </c>
      <c r="E13" s="4" t="n">
        <v>4</v>
      </c>
      <c r="F13" s="4" t="n">
        <v>4</v>
      </c>
      <c r="G13" s="4" t="n">
        <v>5</v>
      </c>
      <c r="H13" s="4" t="n">
        <v>4</v>
      </c>
      <c r="I13" s="4"/>
      <c r="J13" s="3" t="s">
        <v>47</v>
      </c>
    </row>
    <row r="14" customFormat="false" ht="90" hidden="false" customHeight="true" outlineLevel="0" collapsed="false">
      <c r="A14" s="3" t="s">
        <v>48</v>
      </c>
      <c r="B14" s="3" t="s">
        <v>49</v>
      </c>
      <c r="C14" s="3" t="s">
        <v>12</v>
      </c>
      <c r="D14" s="3" t="s">
        <v>50</v>
      </c>
      <c r="E14" s="4" t="n">
        <v>3</v>
      </c>
      <c r="F14" s="4" t="n">
        <v>1</v>
      </c>
      <c r="G14" s="4" t="n">
        <v>1</v>
      </c>
      <c r="H14" s="4" t="n">
        <v>3</v>
      </c>
      <c r="I14" s="4"/>
      <c r="J14" s="3" t="s">
        <v>51</v>
      </c>
    </row>
    <row r="15" customFormat="false" ht="90" hidden="false" customHeight="true" outlineLevel="0" collapsed="false">
      <c r="A15" s="3" t="s">
        <v>48</v>
      </c>
      <c r="B15" s="3" t="s">
        <v>49</v>
      </c>
      <c r="C15" s="3" t="s">
        <v>15</v>
      </c>
      <c r="D15" s="3" t="s">
        <v>52</v>
      </c>
      <c r="E15" s="4" t="n">
        <v>3</v>
      </c>
      <c r="F15" s="4" t="n">
        <v>3</v>
      </c>
      <c r="G15" s="4" t="n">
        <v>4</v>
      </c>
      <c r="H15" s="4" t="n">
        <v>3</v>
      </c>
      <c r="I15" s="4"/>
      <c r="J15" s="3" t="s">
        <v>53</v>
      </c>
    </row>
    <row r="16" customFormat="false" ht="90" hidden="false" customHeight="true" outlineLevel="0" collapsed="false">
      <c r="A16" s="3" t="s">
        <v>54</v>
      </c>
      <c r="B16" s="3" t="s">
        <v>55</v>
      </c>
      <c r="C16" s="3" t="s">
        <v>12</v>
      </c>
      <c r="D16" s="3" t="s">
        <v>56</v>
      </c>
      <c r="E16" s="4" t="n">
        <v>2</v>
      </c>
      <c r="F16" s="4" t="n">
        <v>1</v>
      </c>
      <c r="G16" s="4" t="n">
        <v>1</v>
      </c>
      <c r="H16" s="4" t="n">
        <v>2</v>
      </c>
      <c r="I16" s="4"/>
      <c r="J16" s="3" t="s">
        <v>57</v>
      </c>
    </row>
    <row r="17" customFormat="false" ht="90" hidden="false" customHeight="true" outlineLevel="0" collapsed="false">
      <c r="A17" s="3" t="s">
        <v>54</v>
      </c>
      <c r="B17" s="3" t="s">
        <v>55</v>
      </c>
      <c r="C17" s="3" t="s">
        <v>15</v>
      </c>
      <c r="D17" s="3" t="s">
        <v>58</v>
      </c>
      <c r="E17" s="4" t="n">
        <v>3</v>
      </c>
      <c r="F17" s="4" t="n">
        <v>3</v>
      </c>
      <c r="G17" s="4" t="n">
        <v>4</v>
      </c>
      <c r="H17" s="4" t="n">
        <v>3</v>
      </c>
      <c r="I17" s="4"/>
      <c r="J17" s="3" t="s">
        <v>59</v>
      </c>
    </row>
    <row r="18" customFormat="false" ht="90" hidden="false" customHeight="true" outlineLevel="0" collapsed="false">
      <c r="A18" s="3" t="s">
        <v>60</v>
      </c>
      <c r="B18" s="3" t="s">
        <v>61</v>
      </c>
      <c r="C18" s="3" t="s">
        <v>12</v>
      </c>
      <c r="D18" s="3" t="s">
        <v>62</v>
      </c>
      <c r="E18" s="4" t="n">
        <v>2</v>
      </c>
      <c r="F18" s="4" t="n">
        <v>1</v>
      </c>
      <c r="G18" s="4" t="n">
        <v>1</v>
      </c>
      <c r="H18" s="4" t="n">
        <v>2</v>
      </c>
      <c r="I18" s="4"/>
      <c r="J18" s="3" t="s">
        <v>63</v>
      </c>
    </row>
    <row r="19" customFormat="false" ht="90" hidden="false" customHeight="true" outlineLevel="0" collapsed="false">
      <c r="A19" s="3" t="s">
        <v>60</v>
      </c>
      <c r="B19" s="3" t="s">
        <v>61</v>
      </c>
      <c r="C19" s="3" t="s">
        <v>15</v>
      </c>
      <c r="D19" s="3" t="s">
        <v>64</v>
      </c>
      <c r="E19" s="4" t="n">
        <v>4</v>
      </c>
      <c r="F19" s="4" t="n">
        <v>4</v>
      </c>
      <c r="G19" s="4" t="n">
        <v>5</v>
      </c>
      <c r="H19" s="4" t="n">
        <v>4</v>
      </c>
      <c r="I19" s="4"/>
      <c r="J19" s="3" t="s">
        <v>65</v>
      </c>
    </row>
    <row r="20" customFormat="false" ht="90" hidden="false" customHeight="true" outlineLevel="0" collapsed="false">
      <c r="A20" s="3" t="s">
        <v>66</v>
      </c>
      <c r="B20" s="3" t="s">
        <v>67</v>
      </c>
      <c r="C20" s="3" t="s">
        <v>12</v>
      </c>
      <c r="D20" s="3" t="s">
        <v>68</v>
      </c>
      <c r="E20" s="4" t="n">
        <v>2</v>
      </c>
      <c r="F20" s="4" t="n">
        <v>1</v>
      </c>
      <c r="G20" s="4" t="n">
        <v>1</v>
      </c>
      <c r="H20" s="4" t="n">
        <v>2</v>
      </c>
      <c r="I20" s="4"/>
      <c r="J20" s="3" t="s">
        <v>69</v>
      </c>
    </row>
    <row r="21" customFormat="false" ht="90" hidden="false" customHeight="true" outlineLevel="0" collapsed="false">
      <c r="A21" s="3" t="s">
        <v>66</v>
      </c>
      <c r="B21" s="3" t="s">
        <v>67</v>
      </c>
      <c r="C21" s="3" t="s">
        <v>15</v>
      </c>
      <c r="D21" s="3" t="s">
        <v>70</v>
      </c>
      <c r="E21" s="4" t="n">
        <v>4</v>
      </c>
      <c r="F21" s="4" t="n">
        <v>4</v>
      </c>
      <c r="G21" s="4" t="n">
        <v>5</v>
      </c>
      <c r="H21" s="4" t="n">
        <v>4</v>
      </c>
      <c r="I21" s="4"/>
      <c r="J21" s="3" t="s">
        <v>71</v>
      </c>
    </row>
    <row r="22" customFormat="false" ht="90" hidden="false" customHeight="true" outlineLevel="0" collapsed="false">
      <c r="A22" s="3" t="s">
        <v>72</v>
      </c>
      <c r="B22" s="3" t="s">
        <v>73</v>
      </c>
      <c r="C22" s="3" t="s">
        <v>12</v>
      </c>
      <c r="D22" s="3" t="s">
        <v>74</v>
      </c>
      <c r="E22" s="4" t="n">
        <v>1</v>
      </c>
      <c r="F22" s="4" t="n">
        <v>1</v>
      </c>
      <c r="G22" s="4" t="n">
        <v>1</v>
      </c>
      <c r="H22" s="4" t="n">
        <v>1</v>
      </c>
      <c r="I22" s="4"/>
      <c r="J22" s="3" t="s">
        <v>75</v>
      </c>
    </row>
    <row r="23" customFormat="false" ht="90" hidden="false" customHeight="true" outlineLevel="0" collapsed="false">
      <c r="A23" s="3" t="s">
        <v>72</v>
      </c>
      <c r="B23" s="3" t="s">
        <v>73</v>
      </c>
      <c r="C23" s="3" t="s">
        <v>15</v>
      </c>
      <c r="D23" s="3" t="s">
        <v>76</v>
      </c>
      <c r="E23" s="4" t="n">
        <v>3</v>
      </c>
      <c r="F23" s="4" t="n">
        <v>3</v>
      </c>
      <c r="G23" s="4" t="n">
        <v>4</v>
      </c>
      <c r="H23" s="4" t="n">
        <v>2</v>
      </c>
      <c r="I23" s="4"/>
      <c r="J23" s="3" t="s">
        <v>77</v>
      </c>
    </row>
    <row r="24" customFormat="false" ht="90" hidden="false" customHeight="true" outlineLevel="0" collapsed="false">
      <c r="A24" s="3" t="s">
        <v>78</v>
      </c>
      <c r="B24" s="3" t="s">
        <v>79</v>
      </c>
      <c r="C24" s="3" t="s">
        <v>12</v>
      </c>
      <c r="D24" s="3" t="s">
        <v>80</v>
      </c>
      <c r="E24" s="4" t="n">
        <v>2</v>
      </c>
      <c r="F24" s="4" t="n">
        <v>1</v>
      </c>
      <c r="G24" s="4" t="n">
        <v>1</v>
      </c>
      <c r="H24" s="4" t="n">
        <v>2</v>
      </c>
      <c r="I24" s="4"/>
      <c r="J24" s="3" t="s">
        <v>81</v>
      </c>
    </row>
    <row r="25" customFormat="false" ht="90" hidden="false" customHeight="true" outlineLevel="0" collapsed="false">
      <c r="A25" s="3" t="s">
        <v>78</v>
      </c>
      <c r="B25" s="3" t="s">
        <v>79</v>
      </c>
      <c r="C25" s="3" t="s">
        <v>15</v>
      </c>
      <c r="D25" s="3" t="s">
        <v>82</v>
      </c>
      <c r="E25" s="4" t="n">
        <v>1</v>
      </c>
      <c r="F25" s="4" t="n">
        <v>2</v>
      </c>
      <c r="G25" s="4" t="n">
        <v>5</v>
      </c>
      <c r="H25" s="4" t="n">
        <v>1</v>
      </c>
      <c r="I25" s="4"/>
      <c r="J25" s="3" t="s">
        <v>83</v>
      </c>
    </row>
    <row r="26" customFormat="false" ht="90" hidden="false" customHeight="true" outlineLevel="0" collapsed="false">
      <c r="A26" s="3" t="s">
        <v>84</v>
      </c>
      <c r="B26" s="3" t="s">
        <v>85</v>
      </c>
      <c r="C26" s="3" t="s">
        <v>12</v>
      </c>
      <c r="D26" s="3" t="s">
        <v>86</v>
      </c>
      <c r="E26" s="4" t="n">
        <v>3</v>
      </c>
      <c r="F26" s="4" t="n">
        <v>1</v>
      </c>
      <c r="G26" s="4" t="n">
        <v>1</v>
      </c>
      <c r="H26" s="4" t="n">
        <v>3</v>
      </c>
      <c r="I26" s="4" t="n">
        <v>3</v>
      </c>
      <c r="J26" s="3" t="s">
        <v>87</v>
      </c>
    </row>
    <row r="27" customFormat="false" ht="90" hidden="false" customHeight="true" outlineLevel="0" collapsed="false">
      <c r="A27" s="3" t="s">
        <v>84</v>
      </c>
      <c r="B27" s="3" t="s">
        <v>85</v>
      </c>
      <c r="C27" s="3" t="s">
        <v>15</v>
      </c>
      <c r="D27" s="3" t="s">
        <v>88</v>
      </c>
      <c r="E27" s="4" t="n">
        <v>3</v>
      </c>
      <c r="F27" s="4" t="n">
        <v>4</v>
      </c>
      <c r="G27" s="4" t="n">
        <v>4</v>
      </c>
      <c r="H27" s="4" t="n">
        <v>4</v>
      </c>
      <c r="I27" s="4" t="n">
        <v>4</v>
      </c>
      <c r="J27" s="3" t="s">
        <v>89</v>
      </c>
    </row>
    <row r="28" customFormat="false" ht="90" hidden="false" customHeight="true" outlineLevel="0" collapsed="false">
      <c r="A28" s="3" t="s">
        <v>90</v>
      </c>
      <c r="B28" s="3" t="s">
        <v>91</v>
      </c>
      <c r="C28" s="3" t="s">
        <v>12</v>
      </c>
      <c r="D28" s="3" t="s">
        <v>92</v>
      </c>
      <c r="E28" s="4" t="n">
        <v>3</v>
      </c>
      <c r="F28" s="4" t="n">
        <v>1</v>
      </c>
      <c r="G28" s="4" t="n">
        <v>1</v>
      </c>
      <c r="H28" s="4" t="n">
        <v>2</v>
      </c>
      <c r="I28" s="4" t="n">
        <v>2</v>
      </c>
      <c r="J28" s="3" t="s">
        <v>93</v>
      </c>
    </row>
    <row r="29" customFormat="false" ht="90" hidden="false" customHeight="true" outlineLevel="0" collapsed="false">
      <c r="A29" s="3" t="s">
        <v>90</v>
      </c>
      <c r="B29" s="3" t="s">
        <v>91</v>
      </c>
      <c r="C29" s="3" t="s">
        <v>15</v>
      </c>
      <c r="D29" s="3" t="s">
        <v>94</v>
      </c>
      <c r="E29" s="4" t="n">
        <v>3</v>
      </c>
      <c r="F29" s="4" t="n">
        <v>3</v>
      </c>
      <c r="G29" s="4" t="n">
        <v>3</v>
      </c>
      <c r="H29" s="4" t="n">
        <v>3</v>
      </c>
      <c r="I29" s="4" t="n">
        <v>3</v>
      </c>
      <c r="J29" s="3" t="s">
        <v>95</v>
      </c>
    </row>
    <row r="30" customFormat="false" ht="90" hidden="false" customHeight="true" outlineLevel="0" collapsed="false">
      <c r="A30" s="3" t="s">
        <v>96</v>
      </c>
      <c r="B30" s="3" t="s">
        <v>97</v>
      </c>
      <c r="C30" s="3" t="s">
        <v>12</v>
      </c>
      <c r="D30" s="3" t="s">
        <v>98</v>
      </c>
      <c r="E30" s="4" t="n">
        <v>1</v>
      </c>
      <c r="F30" s="4" t="n">
        <v>1</v>
      </c>
      <c r="G30" s="4" t="n">
        <v>1</v>
      </c>
      <c r="H30" s="4" t="n">
        <v>1</v>
      </c>
      <c r="I30" s="4"/>
      <c r="J30" s="3" t="s">
        <v>99</v>
      </c>
    </row>
    <row r="31" customFormat="false" ht="90" hidden="false" customHeight="true" outlineLevel="0" collapsed="false">
      <c r="A31" s="3" t="s">
        <v>96</v>
      </c>
      <c r="B31" s="3" t="s">
        <v>97</v>
      </c>
      <c r="C31" s="3" t="s">
        <v>15</v>
      </c>
      <c r="D31" s="3" t="s">
        <v>100</v>
      </c>
      <c r="E31" s="4" t="n">
        <v>1</v>
      </c>
      <c r="F31" s="4" t="n">
        <v>1</v>
      </c>
      <c r="G31" s="4" t="n">
        <v>1</v>
      </c>
      <c r="H31" s="4" t="n">
        <v>1</v>
      </c>
      <c r="I31" s="4"/>
      <c r="J31" s="3" t="s">
        <v>99</v>
      </c>
    </row>
  </sheetData>
  <dataValidations count="1">
    <dataValidation allowBlank="true" error="Score must be an integer between 1 and 5." errorStyle="stop" errorTitle="Invalid score" operator="between" showDropDown="false" showErrorMessage="true" showInputMessage="false" sqref="E2:I3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3" min="2" style="1" width="16"/>
  </cols>
  <sheetData>
    <row r="1" customFormat="false" ht="15" hidden="false" customHeight="true" outlineLevel="0" collapsed="false">
      <c r="A1" s="2" t="s">
        <v>101</v>
      </c>
      <c r="B1" s="2" t="s">
        <v>102</v>
      </c>
      <c r="C1" s="2" t="s">
        <v>103</v>
      </c>
    </row>
    <row r="2" customFormat="false" ht="15" hidden="false" customHeight="true" outlineLevel="0" collapsed="false">
      <c r="A2" s="5" t="s">
        <v>4</v>
      </c>
      <c r="B2" s="6" t="n">
        <f aca="false">IFERROR(AVERAGEIFS(Scoring!E2:E31,Scoring!C2:C31,"baseline"),"-")</f>
        <v>2.33333333333333</v>
      </c>
      <c r="C2" s="6" t="n">
        <f aca="false">IFERROR(AVERAGEIFS(Scoring!E2:E31,Scoring!C2:C31,"rag"),"-")</f>
        <v>3</v>
      </c>
    </row>
    <row r="3" customFormat="false" ht="15" hidden="false" customHeight="true" outlineLevel="0" collapsed="false">
      <c r="A3" s="5" t="s">
        <v>5</v>
      </c>
      <c r="B3" s="6" t="n">
        <f aca="false">IFERROR(AVERAGEIFS(Scoring!F2:F31,Scoring!C2:C31,"baseline"),"-")</f>
        <v>1</v>
      </c>
      <c r="C3" s="6" t="n">
        <f aca="false">IFERROR(AVERAGEIFS(Scoring!F2:F31,Scoring!C2:C31,"rag"),"-")</f>
        <v>3.26666666666667</v>
      </c>
    </row>
    <row r="4" customFormat="false" ht="15" hidden="false" customHeight="true" outlineLevel="0" collapsed="false">
      <c r="A4" s="5" t="s">
        <v>6</v>
      </c>
      <c r="B4" s="6" t="n">
        <f aca="false">IFERROR(AVERAGEIFS(Scoring!G2:G31,Scoring!C2:C31,"baseline"),"-")</f>
        <v>1</v>
      </c>
      <c r="C4" s="6" t="n">
        <f aca="false">IFERROR(AVERAGEIFS(Scoring!G2:G31,Scoring!C2:C31,"rag"),"-")</f>
        <v>4</v>
      </c>
    </row>
    <row r="5" customFormat="false" ht="15" hidden="false" customHeight="true" outlineLevel="0" collapsed="false">
      <c r="A5" s="5" t="s">
        <v>7</v>
      </c>
      <c r="B5" s="6" t="n">
        <f aca="false">IFERROR(AVERAGEIFS(Scoring!H2:H31,Scoring!C2:C31,"baseline"),"-")</f>
        <v>2.2</v>
      </c>
      <c r="C5" s="6" t="n">
        <f aca="false">IFERROR(AVERAGEIFS(Scoring!H2:H31,Scoring!C2:C31,"rag"),"-")</f>
        <v>3</v>
      </c>
    </row>
    <row r="6" customFormat="false" ht="15" hidden="false" customHeight="true" outlineLevel="0" collapsed="false">
      <c r="A6" s="5" t="s">
        <v>8</v>
      </c>
      <c r="B6" s="6" t="n">
        <f aca="false">IFERROR(AVERAGEIFS(Scoring!I2:I31,Scoring!C2:C31,"baseline"),"-")</f>
        <v>2.5</v>
      </c>
      <c r="C6" s="6" t="n">
        <f aca="false">IFERROR(AVERAGEIFS(Scoring!I2:I31,Scoring!C2:C31,"rag"),"-")</f>
        <v>3.5</v>
      </c>
    </row>
    <row r="7" customFormat="false" ht="15" hidden="false" customHeight="true" outlineLevel="0" collapsed="false">
      <c r="A7" s="7" t="s">
        <v>104</v>
      </c>
      <c r="B7" s="8" t="n">
        <f aca="false">IFERROR(AVERAGE(B2:B6),"-")</f>
        <v>1.80666666666667</v>
      </c>
      <c r="C7" s="8" t="n">
        <f aca="false">IFERROR(AVERAGE(C2:C6),"-")</f>
        <v>3.35333333333333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2026-05-02T07:05:35Z</dcterms:created>
  <dc:creator>openpyxl</dc:creator>
  <dc:description/>
  <dc:language>en-US</dc:language>
  <cp:lastModifiedBy/>
  <dcterms:modified xsi:type="dcterms:W3CDTF">2026-05-02T08:04:20Z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